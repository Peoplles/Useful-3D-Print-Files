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rink Calc" sheetId="1" r:id="rId4"/>
  </sheets>
  <definedNames/>
  <calcPr/>
</workbook>
</file>

<file path=xl/sharedStrings.xml><?xml version="1.0" encoding="utf-8"?>
<sst xmlns="http://schemas.openxmlformats.org/spreadsheetml/2006/main" count="39" uniqueCount="27">
  <si>
    <t>Shrinkage factors for FDM</t>
  </si>
  <si>
    <t>ABS (Digitmakers, Yellow), 250C, .200mm, fan@25%, 80mmps.</t>
  </si>
  <si>
    <t>Dimensions</t>
  </si>
  <si>
    <t>Nominal</t>
  </si>
  <si>
    <t>Measured</t>
  </si>
  <si>
    <t>Error</t>
  </si>
  <si>
    <t>Between squares (outer)</t>
  </si>
  <si>
    <t>Between diamonds (outer)</t>
  </si>
  <si>
    <t>Between diamonds (inner)</t>
  </si>
  <si>
    <t>Between squares (inner)</t>
  </si>
  <si>
    <t>Left square, X</t>
  </si>
  <si>
    <t>Left square, Y</t>
  </si>
  <si>
    <t>Right square, X</t>
  </si>
  <si>
    <t>Right square, Y</t>
  </si>
  <si>
    <t>Left diamond, X (inner)</t>
  </si>
  <si>
    <t>Left diamond, Y (inner)</t>
  </si>
  <si>
    <t>Right diamond, X (inner)</t>
  </si>
  <si>
    <t>Right diamond, Y (inner)</t>
  </si>
  <si>
    <t>Avg scale error &gt;</t>
  </si>
  <si>
    <t>2mm web (Radial comp check)</t>
  </si>
  <si>
    <t>Anticipated error based on scale</t>
  </si>
  <si>
    <t>Estimated sizing error due to radial comp &gt;</t>
  </si>
  <si>
    <t>New scale errors after simulating reprint with comp error applied</t>
  </si>
  <si>
    <t>Calculated scale error &gt;</t>
  </si>
  <si>
    <t>Calculated radial comp error &gt;</t>
  </si>
  <si>
    <t>Simplify3D scale amount &gt;</t>
  </si>
  <si>
    <t>Simplify3D horizontal size compensation value 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</si>
</sst>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&quot;mm&quot;"/>
    <numFmt numFmtId="165" formatCode="0.000"/>
    <numFmt numFmtId="166" formatCode="#,##0.000"/>
    <numFmt numFmtId="167" formatCode="0.000&quot;mm&quot;"/>
  </numFmts>
  <fonts count="8">
    <font>
      <sz val="10.0"/>
      <color rgb="FF000000"/>
      <name val="Arial"/>
    </font>
    <font>
      <b/>
      <sz val="12.0"/>
    </font>
    <font/>
    <font>
      <color rgb="FFF3F3F3"/>
    </font>
    <font>
      <color rgb="FF000000"/>
    </font>
    <font>
      <b/>
    </font>
    <font>
      <i/>
      <color rgb="FF999999"/>
    </font>
    <font>
      <color rgb="FF999999"/>
    </font>
  </fonts>
  <fills count="10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EF8E3"/>
        <bgColor rgb="FFFEF8E3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0" fontId="2" numFmtId="164" xfId="0" applyAlignment="1" applyFont="1" applyNumberFormat="1">
      <alignment horizontal="center" readingOrder="0"/>
    </xf>
    <xf borderId="0" fillId="0" fontId="4" numFmtId="10" xfId="0" applyAlignment="1" applyFont="1" applyNumberFormat="1">
      <alignment horizontal="center"/>
    </xf>
    <xf borderId="5" fillId="2" fontId="5" numFmtId="0" xfId="0" applyAlignment="1" applyBorder="1" applyFont="1">
      <alignment readingOrder="0"/>
    </xf>
    <xf borderId="5" fillId="2" fontId="5" numFmtId="0" xfId="0" applyAlignment="1" applyBorder="1" applyFont="1">
      <alignment horizontal="center" readingOrder="0"/>
    </xf>
    <xf borderId="6" fillId="4" fontId="2" numFmtId="0" xfId="0" applyAlignment="1" applyBorder="1" applyFill="1" applyFont="1">
      <alignment readingOrder="0"/>
    </xf>
    <xf borderId="6" fillId="4" fontId="2" numFmtId="164" xfId="0" applyAlignment="1" applyBorder="1" applyFont="1" applyNumberFormat="1">
      <alignment horizontal="center" readingOrder="0"/>
    </xf>
    <xf borderId="6" fillId="5" fontId="2" numFmtId="164" xfId="0" applyAlignment="1" applyBorder="1" applyFill="1" applyFont="1" applyNumberFormat="1">
      <alignment horizontal="center" readingOrder="0"/>
    </xf>
    <xf borderId="6" fillId="4" fontId="6" numFmtId="10" xfId="0" applyAlignment="1" applyBorder="1" applyFont="1" applyNumberFormat="1">
      <alignment horizontal="center"/>
    </xf>
    <xf borderId="0" fillId="0" fontId="2" numFmtId="165" xfId="0" applyAlignment="1" applyFont="1" applyNumberFormat="1">
      <alignment readingOrder="0"/>
    </xf>
    <xf borderId="2" fillId="6" fontId="7" numFmtId="0" xfId="0" applyAlignment="1" applyBorder="1" applyFill="1" applyFont="1">
      <alignment horizontal="right" readingOrder="0"/>
    </xf>
    <xf borderId="3" fillId="7" fontId="2" numFmtId="0" xfId="0" applyBorder="1" applyFill="1" applyFont="1"/>
    <xf borderId="4" fillId="6" fontId="7" numFmtId="10" xfId="0" applyAlignment="1" applyBorder="1" applyFont="1" applyNumberFormat="1">
      <alignment horizontal="center"/>
    </xf>
    <xf borderId="0" fillId="8" fontId="2" numFmtId="0" xfId="0" applyAlignment="1" applyFill="1" applyFont="1">
      <alignment readingOrder="0"/>
    </xf>
    <xf borderId="6" fillId="8" fontId="2" numFmtId="165" xfId="0" applyAlignment="1" applyBorder="1" applyFont="1" applyNumberFormat="1">
      <alignment horizontal="center" readingOrder="0"/>
    </xf>
    <xf borderId="6" fillId="5" fontId="2" numFmtId="165" xfId="0" applyAlignment="1" applyBorder="1" applyFont="1" applyNumberFormat="1">
      <alignment horizontal="center" readingOrder="0"/>
    </xf>
    <xf borderId="6" fillId="8" fontId="6" numFmtId="10" xfId="0" applyAlignment="1" applyBorder="1" applyFont="1" applyNumberFormat="1">
      <alignment horizontal="center"/>
    </xf>
    <xf borderId="6" fillId="8" fontId="6" numFmtId="165" xfId="0" applyAlignment="1" applyBorder="1" applyFont="1" applyNumberFormat="1">
      <alignment horizontal="center" readingOrder="0"/>
    </xf>
    <xf borderId="3" fillId="9" fontId="2" numFmtId="0" xfId="0" applyBorder="1" applyFill="1" applyFont="1"/>
    <xf borderId="3" fillId="6" fontId="7" numFmtId="166" xfId="0" applyAlignment="1" applyBorder="1" applyFont="1" applyNumberFormat="1">
      <alignment horizontal="center" readingOrder="0"/>
    </xf>
    <xf borderId="4" fillId="6" fontId="7" numFmtId="167" xfId="0" applyAlignment="1" applyBorder="1" applyFont="1" applyNumberFormat="1">
      <alignment horizontal="left" readingOrder="0"/>
    </xf>
    <xf borderId="7" fillId="4" fontId="6" numFmtId="0" xfId="0" applyAlignment="1" applyBorder="1" applyFont="1">
      <alignment horizontal="center" readingOrder="0"/>
    </xf>
    <xf borderId="1" fillId="7" fontId="2" numFmtId="0" xfId="0" applyBorder="1" applyFont="1"/>
    <xf borderId="8" fillId="7" fontId="2" numFmtId="0" xfId="0" applyBorder="1" applyFont="1"/>
    <xf borderId="6" fillId="8" fontId="6" numFmtId="0" xfId="0" applyAlignment="1" applyBorder="1" applyFont="1">
      <alignment readingOrder="0"/>
    </xf>
    <xf borderId="6" fillId="8" fontId="6" numFmtId="164" xfId="0" applyAlignment="1" applyBorder="1" applyFont="1" applyNumberFormat="1">
      <alignment horizontal="center" readingOrder="0"/>
    </xf>
    <xf borderId="9" fillId="8" fontId="6" numFmtId="0" xfId="0" applyAlignment="1" applyBorder="1" applyFont="1">
      <alignment readingOrder="0"/>
    </xf>
    <xf borderId="9" fillId="8" fontId="6" numFmtId="10" xfId="0" applyAlignment="1" applyBorder="1" applyFont="1" applyNumberFormat="1">
      <alignment horizontal="center"/>
    </xf>
    <xf borderId="2" fillId="2" fontId="4" numFmtId="0" xfId="0" applyAlignment="1" applyBorder="1" applyFont="1">
      <alignment horizontal="right" readingOrder="0"/>
    </xf>
    <xf borderId="4" fillId="9" fontId="2" numFmtId="0" xfId="0" applyBorder="1" applyFont="1"/>
    <xf borderId="5" fillId="2" fontId="4" numFmtId="10" xfId="0" applyAlignment="1" applyBorder="1" applyFont="1" applyNumberFormat="1">
      <alignment horizontal="center"/>
    </xf>
    <xf borderId="4" fillId="7" fontId="2" numFmtId="0" xfId="0" applyBorder="1" applyFont="1"/>
    <xf borderId="5" fillId="2" fontId="4" numFmtId="166" xfId="0" applyAlignment="1" applyBorder="1" applyFont="1" applyNumberFormat="1">
      <alignment horizontal="center"/>
    </xf>
    <xf borderId="2" fillId="3" fontId="3" numFmtId="0" xfId="0" applyAlignment="1" applyBorder="1" applyFont="1">
      <alignment horizontal="right" readingOrder="0"/>
    </xf>
    <xf borderId="5" fillId="3" fontId="3" numFmtId="10" xfId="0" applyAlignment="1" applyBorder="1" applyFont="1" applyNumberFormat="1">
      <alignment horizontal="center"/>
    </xf>
    <xf borderId="5" fillId="3" fontId="3" numFmtId="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2" pivot="0" name="Shrink Calc-style">
      <tableStyleElement dxfId="1" type="firstRowStripe"/>
      <tableStyleElement dxfId="2" type="secondRowStripe"/>
    </tableStyle>
    <tableStyle count="2" pivot="0" name="Shrink Calc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9525</xdr:rowOff>
    </xdr:from>
    <xdr:ext cx="4324350" cy="2524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15:I15" displayName="Table_1" name="Table_1" id="1">
  <tableColumns count="3">
    <tableColumn name="Column1" id="1"/>
    <tableColumn name="Column2" id="2"/>
    <tableColumn name="Column3" id="3"/>
  </tableColumns>
  <tableStyleInfo name="Shrink Calc-style" showColumnStripes="0" showFirstColumn="1" showLastColumn="1" showRowStripes="1"/>
</table>
</file>

<file path=xl/tables/table2.xml><?xml version="1.0" encoding="utf-8"?>
<table xmlns="http://schemas.openxmlformats.org/spreadsheetml/2006/main" headerRowCount="0" ref="I20" displayName="Table_2" name="Table_2" id="2">
  <tableColumns count="1">
    <tableColumn name="Column1" id="1"/>
  </tableColumns>
  <tableStyleInfo name="Shrink Calc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3" width="11.38"/>
    <col customWidth="1" min="4" max="4" width="12.38"/>
    <col customWidth="1" min="6" max="6" width="26.0"/>
  </cols>
  <sheetData>
    <row r="1">
      <c r="A1" s="1" t="s">
        <v>0</v>
      </c>
      <c r="B1" s="2"/>
      <c r="C1" s="2"/>
      <c r="D1" s="2"/>
    </row>
    <row r="14">
      <c r="I14" s="3"/>
    </row>
    <row r="15">
      <c r="A15" s="4" t="s">
        <v>1</v>
      </c>
      <c r="B15" s="5"/>
      <c r="C15" s="6"/>
      <c r="F15" s="3"/>
      <c r="G15" s="7"/>
      <c r="H15" s="7"/>
      <c r="I15" s="8"/>
    </row>
    <row r="16">
      <c r="A16" s="9" t="s">
        <v>2</v>
      </c>
      <c r="B16" s="10" t="s">
        <v>3</v>
      </c>
      <c r="C16" s="10" t="s">
        <v>4</v>
      </c>
      <c r="D16" s="10" t="s">
        <v>5</v>
      </c>
    </row>
    <row r="17">
      <c r="A17" s="11" t="s">
        <v>6</v>
      </c>
      <c r="B17" s="12">
        <v>150.0</v>
      </c>
      <c r="C17" s="13">
        <v>149.2</v>
      </c>
      <c r="D17" s="14">
        <f t="shared" ref="D17:D28" si="1">IF(isblank(C17),"waiting for data",((C17/B17)-1))</f>
        <v>-0.005333333333</v>
      </c>
    </row>
    <row r="18">
      <c r="A18" s="11" t="s">
        <v>7</v>
      </c>
      <c r="B18" s="12">
        <v>140.0</v>
      </c>
      <c r="C18" s="13">
        <v>139.0</v>
      </c>
      <c r="D18" s="14">
        <f t="shared" si="1"/>
        <v>-0.007142857143</v>
      </c>
    </row>
    <row r="19">
      <c r="A19" s="11" t="s">
        <v>8</v>
      </c>
      <c r="B19" s="12">
        <v>90.0</v>
      </c>
      <c r="C19" s="13">
        <v>89.75</v>
      </c>
      <c r="D19" s="14">
        <f t="shared" si="1"/>
        <v>-0.002777777778</v>
      </c>
      <c r="I19" s="3"/>
    </row>
    <row r="20">
      <c r="A20" s="11" t="s">
        <v>9</v>
      </c>
      <c r="B20" s="12">
        <v>80.0</v>
      </c>
      <c r="C20" s="13">
        <v>79.45</v>
      </c>
      <c r="D20" s="14">
        <f t="shared" si="1"/>
        <v>-0.006875</v>
      </c>
      <c r="F20" s="3"/>
      <c r="G20" s="3"/>
      <c r="H20" s="3"/>
      <c r="I20" s="8"/>
    </row>
    <row r="21">
      <c r="A21" s="11" t="s">
        <v>10</v>
      </c>
      <c r="B21" s="12">
        <v>35.0</v>
      </c>
      <c r="C21" s="13">
        <v>34.8</v>
      </c>
      <c r="D21" s="14">
        <f t="shared" si="1"/>
        <v>-0.005714285714</v>
      </c>
      <c r="F21" s="3"/>
      <c r="G21" s="3"/>
      <c r="H21" s="15"/>
    </row>
    <row r="22">
      <c r="A22" s="11" t="s">
        <v>11</v>
      </c>
      <c r="B22" s="12">
        <v>35.0</v>
      </c>
      <c r="C22" s="13">
        <v>34.8</v>
      </c>
      <c r="D22" s="14">
        <f t="shared" si="1"/>
        <v>-0.005714285714</v>
      </c>
      <c r="F22" s="3"/>
      <c r="H22" s="3"/>
    </row>
    <row r="23">
      <c r="A23" s="11" t="s">
        <v>12</v>
      </c>
      <c r="B23" s="12">
        <v>35.0</v>
      </c>
      <c r="C23" s="13">
        <v>34.82</v>
      </c>
      <c r="D23" s="14">
        <f t="shared" si="1"/>
        <v>-0.005142857143</v>
      </c>
      <c r="F23" s="3"/>
      <c r="H23" s="3"/>
    </row>
    <row r="24">
      <c r="A24" s="11" t="s">
        <v>13</v>
      </c>
      <c r="B24" s="12">
        <v>35.0</v>
      </c>
      <c r="C24" s="13">
        <v>34.81</v>
      </c>
      <c r="D24" s="14">
        <f t="shared" si="1"/>
        <v>-0.005428571429</v>
      </c>
      <c r="F24" s="3"/>
      <c r="G24" s="3"/>
    </row>
    <row r="25">
      <c r="A25" s="11" t="s">
        <v>14</v>
      </c>
      <c r="B25" s="12">
        <v>25.0</v>
      </c>
      <c r="C25" s="13">
        <v>24.85</v>
      </c>
      <c r="D25" s="14">
        <f t="shared" si="1"/>
        <v>-0.006</v>
      </c>
    </row>
    <row r="26">
      <c r="A26" s="11" t="s">
        <v>15</v>
      </c>
      <c r="B26" s="12">
        <v>25.0</v>
      </c>
      <c r="C26" s="13">
        <v>24.85</v>
      </c>
      <c r="D26" s="14">
        <f t="shared" si="1"/>
        <v>-0.006</v>
      </c>
    </row>
    <row r="27">
      <c r="A27" s="11" t="s">
        <v>16</v>
      </c>
      <c r="B27" s="12">
        <v>25.0</v>
      </c>
      <c r="C27" s="13">
        <v>24.88</v>
      </c>
      <c r="D27" s="14">
        <f t="shared" si="1"/>
        <v>-0.0048</v>
      </c>
    </row>
    <row r="28">
      <c r="A28" s="11" t="s">
        <v>17</v>
      </c>
      <c r="B28" s="12">
        <v>25.0</v>
      </c>
      <c r="C28" s="13">
        <v>24.9</v>
      </c>
      <c r="D28" s="14">
        <f t="shared" si="1"/>
        <v>-0.004</v>
      </c>
    </row>
    <row r="29">
      <c r="A29" s="16" t="s">
        <v>18</v>
      </c>
      <c r="B29" s="17"/>
      <c r="C29" s="17"/>
      <c r="D29" s="18">
        <f>iferror(AVERAGE(D17:D28),"waiting for data")</f>
        <v>-0.005410747354</v>
      </c>
    </row>
    <row r="30">
      <c r="A30" s="19" t="s">
        <v>19</v>
      </c>
      <c r="B30" s="20">
        <v>2.0</v>
      </c>
      <c r="C30" s="21">
        <v>2.04</v>
      </c>
      <c r="D30" s="22">
        <f t="shared" ref="D30:D31" si="2">IF(isblank(C30),"waiting for data",((C30/B30)-1))</f>
        <v>0.02</v>
      </c>
    </row>
    <row r="31">
      <c r="A31" s="19" t="s">
        <v>20</v>
      </c>
      <c r="B31" s="23">
        <f>B30</f>
        <v>2</v>
      </c>
      <c r="C31" s="23">
        <f>B31*(1+D29)</f>
        <v>1.989178505</v>
      </c>
      <c r="D31" s="22">
        <f t="shared" si="2"/>
        <v>-0.005410747354</v>
      </c>
    </row>
    <row r="32">
      <c r="A32" s="16" t="s">
        <v>21</v>
      </c>
      <c r="B32" s="24"/>
      <c r="C32" s="25">
        <f>C30-C31</f>
        <v>0.05082149471</v>
      </c>
      <c r="D32" s="26"/>
    </row>
    <row r="33">
      <c r="A33" s="27" t="s">
        <v>22</v>
      </c>
      <c r="B33" s="28"/>
      <c r="C33" s="28"/>
      <c r="D33" s="29"/>
    </row>
    <row r="34">
      <c r="A34" s="30" t="s">
        <v>6</v>
      </c>
      <c r="B34" s="31">
        <f t="shared" ref="B34:B45" si="3">B17</f>
        <v>150</v>
      </c>
      <c r="C34" s="31">
        <f t="shared" ref="C34:C45" si="4">C17-$C$32</f>
        <v>149.1491785</v>
      </c>
      <c r="D34" s="22">
        <f t="shared" ref="D34:D45" si="5">IF(isblank(C34),"waiting for data",((C34/B34)-1))</f>
        <v>-0.005672143298</v>
      </c>
    </row>
    <row r="35">
      <c r="A35" s="30" t="s">
        <v>7</v>
      </c>
      <c r="B35" s="31">
        <f t="shared" si="3"/>
        <v>140</v>
      </c>
      <c r="C35" s="31">
        <f t="shared" si="4"/>
        <v>138.9491785</v>
      </c>
      <c r="D35" s="22">
        <f t="shared" si="5"/>
        <v>-0.007505867819</v>
      </c>
    </row>
    <row r="36">
      <c r="A36" s="30" t="s">
        <v>8</v>
      </c>
      <c r="B36" s="31">
        <f t="shared" si="3"/>
        <v>90</v>
      </c>
      <c r="C36" s="31">
        <f t="shared" si="4"/>
        <v>89.69917851</v>
      </c>
      <c r="D36" s="22">
        <f t="shared" si="5"/>
        <v>-0.003342461052</v>
      </c>
    </row>
    <row r="37">
      <c r="A37" s="30" t="s">
        <v>9</v>
      </c>
      <c r="B37" s="31">
        <f t="shared" si="3"/>
        <v>80</v>
      </c>
      <c r="C37" s="31">
        <f t="shared" si="4"/>
        <v>79.39917851</v>
      </c>
      <c r="D37" s="22">
        <f t="shared" si="5"/>
        <v>-0.007510268684</v>
      </c>
    </row>
    <row r="38">
      <c r="A38" s="30" t="s">
        <v>10</v>
      </c>
      <c r="B38" s="31">
        <f t="shared" si="3"/>
        <v>35</v>
      </c>
      <c r="C38" s="31">
        <f t="shared" si="4"/>
        <v>34.74917851</v>
      </c>
      <c r="D38" s="22">
        <f t="shared" si="5"/>
        <v>-0.00716632842</v>
      </c>
    </row>
    <row r="39">
      <c r="A39" s="30" t="s">
        <v>11</v>
      </c>
      <c r="B39" s="31">
        <f t="shared" si="3"/>
        <v>35</v>
      </c>
      <c r="C39" s="31">
        <f t="shared" si="4"/>
        <v>34.74917851</v>
      </c>
      <c r="D39" s="22">
        <f t="shared" si="5"/>
        <v>-0.00716632842</v>
      </c>
    </row>
    <row r="40">
      <c r="A40" s="30" t="s">
        <v>12</v>
      </c>
      <c r="B40" s="31">
        <f t="shared" si="3"/>
        <v>35</v>
      </c>
      <c r="C40" s="31">
        <f t="shared" si="4"/>
        <v>34.76917851</v>
      </c>
      <c r="D40" s="22">
        <f t="shared" si="5"/>
        <v>-0.006594899849</v>
      </c>
    </row>
    <row r="41">
      <c r="A41" s="30" t="s">
        <v>13</v>
      </c>
      <c r="B41" s="31">
        <f t="shared" si="3"/>
        <v>35</v>
      </c>
      <c r="C41" s="31">
        <f t="shared" si="4"/>
        <v>34.75917851</v>
      </c>
      <c r="D41" s="22">
        <f t="shared" si="5"/>
        <v>-0.006880614135</v>
      </c>
    </row>
    <row r="42">
      <c r="A42" s="30" t="s">
        <v>14</v>
      </c>
      <c r="B42" s="31">
        <f t="shared" si="3"/>
        <v>25</v>
      </c>
      <c r="C42" s="31">
        <f t="shared" si="4"/>
        <v>24.79917851</v>
      </c>
      <c r="D42" s="22">
        <f t="shared" si="5"/>
        <v>-0.008032859788</v>
      </c>
    </row>
    <row r="43">
      <c r="A43" s="30" t="s">
        <v>15</v>
      </c>
      <c r="B43" s="31">
        <f t="shared" si="3"/>
        <v>25</v>
      </c>
      <c r="C43" s="31">
        <f t="shared" si="4"/>
        <v>24.79917851</v>
      </c>
      <c r="D43" s="22">
        <f t="shared" si="5"/>
        <v>-0.008032859788</v>
      </c>
    </row>
    <row r="44">
      <c r="A44" s="30" t="s">
        <v>16</v>
      </c>
      <c r="B44" s="31">
        <f t="shared" si="3"/>
        <v>25</v>
      </c>
      <c r="C44" s="31">
        <f t="shared" si="4"/>
        <v>24.82917851</v>
      </c>
      <c r="D44" s="22">
        <f t="shared" si="5"/>
        <v>-0.006832859788</v>
      </c>
    </row>
    <row r="45">
      <c r="A45" s="32" t="s">
        <v>17</v>
      </c>
      <c r="B45" s="31">
        <f t="shared" si="3"/>
        <v>25</v>
      </c>
      <c r="C45" s="31">
        <f t="shared" si="4"/>
        <v>24.84917851</v>
      </c>
      <c r="D45" s="33">
        <f t="shared" si="5"/>
        <v>-0.006032859788</v>
      </c>
    </row>
    <row r="46">
      <c r="A46" s="34" t="s">
        <v>23</v>
      </c>
      <c r="B46" s="24"/>
      <c r="C46" s="35"/>
      <c r="D46" s="36">
        <f>iferror(AVERAGE(D34:D45),"waiting for data")</f>
        <v>-0.006730862569</v>
      </c>
    </row>
    <row r="47">
      <c r="A47" s="34" t="s">
        <v>24</v>
      </c>
      <c r="B47" s="17"/>
      <c r="C47" s="37"/>
      <c r="D47" s="38">
        <f>-1*C32/2</f>
        <v>-0.02541074735</v>
      </c>
      <c r="F47" s="3"/>
    </row>
    <row r="48">
      <c r="A48" s="39" t="s">
        <v>25</v>
      </c>
      <c r="B48" s="24"/>
      <c r="C48" s="35"/>
      <c r="D48" s="40">
        <f>100%-D46</f>
        <v>1.006730863</v>
      </c>
      <c r="F48" s="3"/>
    </row>
    <row r="49">
      <c r="A49" s="39" t="s">
        <v>26</v>
      </c>
      <c r="B49" s="17"/>
      <c r="C49" s="37"/>
      <c r="D49" s="41">
        <f>D47</f>
        <v>-0.02541074735</v>
      </c>
    </row>
  </sheetData>
  <mergeCells count="9">
    <mergeCell ref="A48:C48"/>
    <mergeCell ref="A49:C49"/>
    <mergeCell ref="A1:D1"/>
    <mergeCell ref="A15:C15"/>
    <mergeCell ref="A29:C29"/>
    <mergeCell ref="A32:B32"/>
    <mergeCell ref="A33:D33"/>
    <mergeCell ref="A46:C46"/>
    <mergeCell ref="A47:C47"/>
  </mergeCells>
  <drawing r:id="rId1"/>
  <tableParts count="2">
    <tablePart r:id="rId4"/>
    <tablePart r:id="rId5"/>
  </tableParts>
</worksheet>
</file>